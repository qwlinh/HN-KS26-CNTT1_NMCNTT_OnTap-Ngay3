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ab8e97884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Ban" sheetId="1" r:id="Rb1fee5f60bf1451b"/>
    <x:sheet xmlns:r="http://schemas.openxmlformats.org/officeDocument/2006/relationships" name="SanPham" sheetId="2" r:id="Rff30cb054c3a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60fe651a14fcd" /><Relationship Type="http://schemas.openxmlformats.org/officeDocument/2006/relationships/theme" Target="/xl/theme/theme1.xml" Id="R9b9ded442c50407e" /><Relationship Type="http://schemas.openxmlformats.org/officeDocument/2006/relationships/sharedStrings" Target="/xl/sharedStrings.xml" Id="Rd54df5065fa54ac6" /><Relationship Type="http://schemas.openxmlformats.org/officeDocument/2006/relationships/worksheet" Target="/xl/worksheets/sheet1.xml" Id="Rb1fee5f60bf1451b" /><Relationship Type="http://schemas.openxmlformats.org/officeDocument/2006/relationships/worksheet" Target="/xl/worksheets/sheet2.xml" Id="Rff30cb054c3a43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>
      <x:c r="A1" t="inlineStr">
        <x:is>
          <x:t xml:space="preserve">ma_db</x:t>
        </x:is>
      </x:c>
      <x:c r="B1" t="inlineStr">
        <x:is>
          <x:t xml:space="preserve">ngay_ban</x:t>
        </x:is>
      </x:c>
      <x:c r="C1" t="inlineStr">
        <x:is>
          <x:t xml:space="preserve">ma_sp</x:t>
        </x:is>
      </x:c>
      <x:c r="D1" t="inlineStr">
        <x:is>
          <x:t xml:space="preserve">sl_ban</x:t>
        </x:is>
      </x:c>
      <x:c r="E1" t="inlineStr">
        <x:is>
          <x:t xml:space="preserve">ten_sp</x:t>
        </x:is>
      </x:c>
      <x:c r="F1" t="inlineStr">
        <x:is>
          <x:t xml:space="preserve">gia_ban</x:t>
        </x:is>
      </x:c>
      <x:c r="G1" t="inlineStr">
        <x:is>
          <x:t xml:space="preserve">tien_ban</x:t>
        </x:is>
      </x:c>
    </x:row>
    <x:row r="2">
      <x:c r="A2" t="inlineStr">
        <x:is>
          <x:t xml:space="preserve">DB001</x:t>
        </x:is>
      </x:c>
      <x:c r="B2" t="inlineStr">
        <x:is>
          <x:t xml:space="preserve">2025-10-01</x:t>
        </x:is>
      </x:c>
      <x:c r="C2" t="inlineStr">
        <x:is>
          <x:t xml:space="preserve">KE01</x:t>
        </x:is>
      </x:c>
      <x:c r="D2" t="n">
        <x:v>4</x:v>
      </x:c>
      <x:c r="E2" t="str">
        <x:f>VLOOKUP(C2,SanPham!$A$2:$C$8,2,FALSE)</x:f>
        <x:v>Ke sach mini</x:v>
      </x:c>
      <x:c r="F2" t="n">
        <x:f>VLOOKUP(C2,SanPham!$A$2:$C$8,3,FALSE)</x:f>
        <x:v>100000</x:v>
      </x:c>
      <x:c r="G2" t="n">
        <x:f>D2*F2</x:f>
        <x:v>400000</x:v>
      </x:c>
    </x:row>
    <x:row r="3">
      <x:c r="A3" t="inlineStr">
        <x:is>
          <x:t xml:space="preserve">DB002</x:t>
        </x:is>
      </x:c>
      <x:c r="B3" t="inlineStr">
        <x:is>
          <x:t xml:space="preserve">2025-10-02</x:t>
        </x:is>
      </x:c>
      <x:c r="C3" t="inlineStr">
        <x:is>
          <x:t xml:space="preserve">BA01</x:t>
        </x:is>
      </x:c>
      <x:c r="D3" t="n">
        <x:v>4</x:v>
      </x:c>
      <x:c r="E3" t="str">
        <x:f>VLOOKUP(C3,SanPham!$A$2:$C$8,2,FALSE)</x:f>
        <x:v>Balo hoc sinh</x:v>
      </x:c>
      <x:c r="F3" t="n">
        <x:f>VLOOKUP(C3,SanPham!$A$2:$C$8,3,FALSE)</x:f>
        <x:v>250000</x:v>
      </x:c>
      <x:c r="G3" t="n">
        <x:f>D3*F3</x:f>
        <x:v>1000000</x:v>
      </x:c>
    </x:row>
    <x:row r="4" hidden="1">
      <x:c r="A4" t="inlineStr">
        <x:is>
          <x:t xml:space="preserve">DB003</x:t>
        </x:is>
      </x:c>
      <x:c r="B4" t="inlineStr">
        <x:is>
          <x:t xml:space="preserve">2025-10-03</x:t>
        </x:is>
      </x:c>
      <x:c r="C4" t="inlineStr">
        <x:is>
          <x:t xml:space="preserve">VO01</x:t>
        </x:is>
      </x:c>
      <x:c r="D4" t="n">
        <x:v>2</x:v>
      </x:c>
      <x:c r="E4" t="str">
        <x:f>VLOOKUP(C4,SanPham!$A$2:$C$8,2,FALSE)</x:f>
        <x:v>Loc vo 5 quyen</x:v>
      </x:c>
      <x:c r="F4" t="n">
        <x:f>VLOOKUP(C4,SanPham!$A$2:$C$8,3,FALSE)</x:f>
        <x:v>60000</x:v>
      </x:c>
      <x:c r="G4" t="n">
        <x:f>D4*F4</x:f>
        <x:v>120000</x:v>
      </x:c>
    </x:row>
    <x:row r="5">
      <x:c r="A5" t="inlineStr">
        <x:is>
          <x:t xml:space="preserve">DB004</x:t>
        </x:is>
      </x:c>
      <x:c r="B5" t="inlineStr">
        <x:is>
          <x:t xml:space="preserve">2025-10-04</x:t>
        </x:is>
      </x:c>
      <x:c r="C5" t="inlineStr">
        <x:is>
          <x:t xml:space="preserve">KE01</x:t>
        </x:is>
      </x:c>
      <x:c r="D5" t="n">
        <x:v>5</x:v>
      </x:c>
      <x:c r="E5" t="str">
        <x:f>VLOOKUP(C5,SanPham!$A$2:$C$8,2,FALSE)</x:f>
        <x:v>Ke sach mini</x:v>
      </x:c>
      <x:c r="F5" t="n">
        <x:f>VLOOKUP(C5,SanPham!$A$2:$C$8,3,FALSE)</x:f>
        <x:v>100000</x:v>
      </x:c>
      <x:c r="G5" t="n">
        <x:f>D5*F5</x:f>
        <x:v>500000</x:v>
      </x:c>
    </x:row>
    <x:row r="6" hidden="1">
      <x:c r="A6" t="inlineStr">
        <x:is>
          <x:t xml:space="preserve">DB005</x:t>
        </x:is>
      </x:c>
      <x:c r="B6" t="inlineStr">
        <x:is>
          <x:t xml:space="preserve">2025-10-05</x:t>
        </x:is>
      </x:c>
      <x:c r="C6" t="inlineStr">
        <x:is>
          <x:t xml:space="preserve">BB01</x:t>
        </x:is>
      </x:c>
      <x:c r="D6" t="n">
        <x:v>1</x:v>
      </x:c>
      <x:c r="E6" t="str">
        <x:f>VLOOKUP(C6,SanPham!$A$2:$C$8,2,FALSE)</x:f>
        <x:v>Bo but bi 10 chiec</x:v>
      </x:c>
      <x:c r="F6" t="n">
        <x:f>VLOOKUP(C6,SanPham!$A$2:$C$8,3,FALSE)</x:f>
        <x:v>35000</x:v>
      </x:c>
      <x:c r="G6" t="n">
        <x:f>D6*F6</x:f>
        <x:v>35000</x:v>
      </x:c>
    </x:row>
    <x:row r="7" hidden="1">
      <x:c r="A7" t="inlineStr">
        <x:is>
          <x:t xml:space="preserve">DB006</x:t>
        </x:is>
      </x:c>
      <x:c r="B7" t="inlineStr">
        <x:is>
          <x:t xml:space="preserve">2025-10-06</x:t>
        </x:is>
      </x:c>
      <x:c r="C7" t="inlineStr">
        <x:is>
          <x:t xml:space="preserve">BB01</x:t>
        </x:is>
      </x:c>
      <x:c r="D7" t="n">
        <x:v>4</x:v>
      </x:c>
      <x:c r="E7" t="str">
        <x:f>VLOOKUP(C7,SanPham!$A$2:$C$8,2,FALSE)</x:f>
        <x:v>Bo but bi 10 chiec</x:v>
      </x:c>
      <x:c r="F7" t="n">
        <x:f>VLOOKUP(C7,SanPham!$A$2:$C$8,3,FALSE)</x:f>
        <x:v>35000</x:v>
      </x:c>
      <x:c r="G7" t="n">
        <x:f>D7*F7</x:f>
        <x:v>140000</x:v>
      </x:c>
    </x:row>
    <x:row r="8">
      <x:c r="A8" t="inlineStr">
        <x:is>
          <x:t xml:space="preserve">DB007</x:t>
        </x:is>
      </x:c>
      <x:c r="B8" t="inlineStr">
        <x:is>
          <x:t xml:space="preserve">2025-10-07</x:t>
        </x:is>
      </x:c>
      <x:c r="C8" t="inlineStr">
        <x:is>
          <x:t xml:space="preserve">BA01</x:t>
        </x:is>
      </x:c>
      <x:c r="D8" t="n">
        <x:v>5</x:v>
      </x:c>
      <x:c r="E8" t="str">
        <x:f>VLOOKUP(C8,SanPham!$A$2:$C$8,2,FALSE)</x:f>
        <x:v>Balo hoc sinh</x:v>
      </x:c>
      <x:c r="F8" t="n">
        <x:f>VLOOKUP(C8,SanPham!$A$2:$C$8,3,FALSE)</x:f>
        <x:v>250000</x:v>
      </x:c>
      <x:c r="G8" t="n">
        <x:f>D8*F8</x:f>
        <x:v>1250000</x:v>
      </x:c>
    </x:row>
    <x:row r="9" hidden="1">
      <x:c r="A9" t="inlineStr">
        <x:is>
          <x:t xml:space="preserve">DB008</x:t>
        </x:is>
      </x:c>
      <x:c r="B9" t="inlineStr">
        <x:is>
          <x:t xml:space="preserve">2025-10-08</x:t>
        </x:is>
      </x:c>
      <x:c r="C9" t="inlineStr">
        <x:is>
          <x:t xml:space="preserve">VO01</x:t>
        </x:is>
      </x:c>
      <x:c r="D9" t="n">
        <x:v>3</x:v>
      </x:c>
      <x:c r="E9" t="str">
        <x:f>VLOOKUP(C9,SanPham!$A$2:$C$8,2,FALSE)</x:f>
        <x:v>Loc vo 5 quyen</x:v>
      </x:c>
      <x:c r="F9" t="n">
        <x:f>VLOOKUP(C9,SanPham!$A$2:$C$8,3,FALSE)</x:f>
        <x:v>60000</x:v>
      </x:c>
      <x:c r="G9" t="n">
        <x:f>D9*F9</x:f>
        <x:v>180000</x:v>
      </x:c>
    </x:row>
    <x:row r="10">
      <x:c r="A10" t="inlineStr">
        <x:is>
          <x:t xml:space="preserve">DB009</x:t>
        </x:is>
      </x:c>
      <x:c r="B10" t="inlineStr">
        <x:is>
          <x:t xml:space="preserve">2025-10-09</x:t>
        </x:is>
      </x:c>
      <x:c r="C10" t="inlineStr">
        <x:is>
          <x:t xml:space="preserve">BA01</x:t>
        </x:is>
      </x:c>
      <x:c r="D10" t="n">
        <x:v>2</x:v>
      </x:c>
      <x:c r="E10" t="str">
        <x:f>VLOOKUP(C10,SanPham!$A$2:$C$8,2,FALSE)</x:f>
        <x:v>Balo hoc sinh</x:v>
      </x:c>
      <x:c r="F10" t="n">
        <x:f>VLOOKUP(C10,SanPham!$A$2:$C$8,3,FALSE)</x:f>
        <x:v>250000</x:v>
      </x:c>
      <x:c r="G10" t="n">
        <x:f>D10*F10</x:f>
        <x:v>500000</x:v>
      </x:c>
    </x:row>
    <x:row r="11">
      <x:c r="A11" t="inlineStr">
        <x:is>
          <x:t xml:space="preserve">DB010</x:t>
        </x:is>
      </x:c>
      <x:c r="B11" t="inlineStr">
        <x:is>
          <x:t xml:space="preserve">2025-10-10</x:t>
        </x:is>
      </x:c>
      <x:c r="C11" t="inlineStr">
        <x:is>
          <x:t xml:space="preserve">MT01</x:t>
        </x:is>
      </x:c>
      <x:c r="D11" t="n">
        <x:v>2</x:v>
      </x:c>
      <x:c r="E11" t="str">
        <x:f>VLOOKUP(C11,SanPham!$A$2:$C$8,2,FALSE)</x:f>
        <x:v>May tinh bo tui</x:v>
      </x:c>
      <x:c r="F11" t="n">
        <x:f>VLOOKUP(C11,SanPham!$A$2:$C$8,3,FALSE)</x:f>
        <x:v>150000</x:v>
      </x:c>
      <x:c r="G11" t="n">
        <x:f>D11*F11</x:f>
        <x:v>300000</x:v>
      </x:c>
    </x:row>
    <x:row r="12" hidden="1">
      <x:c r="A12" t="inlineStr">
        <x:is>
          <x:t xml:space="preserve">DB011</x:t>
        </x:is>
      </x:c>
      <x:c r="B12" t="inlineStr">
        <x:is>
          <x:t xml:space="preserve">2025-10-11</x:t>
        </x:is>
      </x:c>
      <x:c r="C12" t="inlineStr">
        <x:is>
          <x:t xml:space="preserve">GI01</x:t>
        </x:is>
      </x:c>
      <x:c r="D12" t="n">
        <x:v>2</x:v>
      </x:c>
      <x:c r="E12" t="str">
        <x:f>VLOOKUP(C12,SanPham!$A$2:$C$8,2,FALSE)</x:f>
        <x:v>Giay A4 500 to</x:v>
      </x:c>
      <x:c r="F12" t="n">
        <x:f>VLOOKUP(C12,SanPham!$A$2:$C$8,3,FALSE)</x:f>
        <x:v>75000</x:v>
      </x:c>
      <x:c r="G12" t="n">
        <x:f>D12*F12</x:f>
        <x:v>150000</x:v>
      </x:c>
    </x:row>
    <x:row r="13" hidden="1">
      <x:c r="A13" t="inlineStr">
        <x:is>
          <x:t xml:space="preserve">DB012</x:t>
        </x:is>
      </x:c>
      <x:c r="B13" t="inlineStr">
        <x:is>
          <x:t xml:space="preserve">2025-10-12</x:t>
        </x:is>
      </x:c>
      <x:c r="C13" t="inlineStr">
        <x:is>
          <x:t xml:space="preserve">VO01</x:t>
        </x:is>
      </x:c>
      <x:c r="D13" t="n">
        <x:v>3</x:v>
      </x:c>
      <x:c r="E13" t="str">
        <x:f>VLOOKUP(C13,SanPham!$A$2:$C$8,2,FALSE)</x:f>
        <x:v>Loc vo 5 quyen</x:v>
      </x:c>
      <x:c r="F13" t="n">
        <x:f>VLOOKUP(C13,SanPham!$A$2:$C$8,3,FALSE)</x:f>
        <x:v>60000</x:v>
      </x:c>
      <x:c r="G13" t="n">
        <x:f>D13*F13</x:f>
        <x:v>180000</x:v>
      </x:c>
    </x:row>
    <x:row r="14" hidden="1">
      <x:c r="A14" t="inlineStr">
        <x:is>
          <x:t xml:space="preserve">DB013</x:t>
        </x:is>
      </x:c>
      <x:c r="B14" t="inlineStr">
        <x:is>
          <x:t xml:space="preserve">2025-10-13</x:t>
        </x:is>
      </x:c>
      <x:c r="C14" t="inlineStr">
        <x:is>
          <x:t xml:space="preserve">BB01</x:t>
        </x:is>
      </x:c>
      <x:c r="D14" t="n">
        <x:v>5</x:v>
      </x:c>
      <x:c r="E14" t="str">
        <x:f>VLOOKUP(C14,SanPham!$A$2:$C$8,2,FALSE)</x:f>
        <x:v>Bo but bi 10 chiec</x:v>
      </x:c>
      <x:c r="F14" t="n">
        <x:f>VLOOKUP(C14,SanPham!$A$2:$C$8,3,FALSE)</x:f>
        <x:v>35000</x:v>
      </x:c>
      <x:c r="G14" t="n">
        <x:f>D14*F14</x:f>
        <x:v>175000</x:v>
      </x:c>
    </x:row>
    <x:row r="15">
      <x:c r="A15" t="inlineStr">
        <x:is>
          <x:t xml:space="preserve">DB014</x:t>
        </x:is>
      </x:c>
      <x:c r="B15" t="inlineStr">
        <x:is>
          <x:t xml:space="preserve">2025-10-14</x:t>
        </x:is>
      </x:c>
      <x:c r="C15" t="inlineStr">
        <x:is>
          <x:t xml:space="preserve">KE01</x:t>
        </x:is>
      </x:c>
      <x:c r="D15" t="n">
        <x:v>4</x:v>
      </x:c>
      <x:c r="E15" t="str">
        <x:f>VLOOKUP(C15,SanPham!$A$2:$C$8,2,FALSE)</x:f>
        <x:v>Ke sach mini</x:v>
      </x:c>
      <x:c r="F15" t="n">
        <x:f>VLOOKUP(C15,SanPham!$A$2:$C$8,3,FALSE)</x:f>
        <x:v>100000</x:v>
      </x:c>
      <x:c r="G15" t="n">
        <x:f>D15*F15</x:f>
        <x:v>400000</x:v>
      </x:c>
    </x:row>
    <x:row r="16" hidden="1">
      <x:c r="A16" t="inlineStr">
        <x:is>
          <x:t xml:space="preserve">DB015</x:t>
        </x:is>
      </x:c>
      <x:c r="B16" t="inlineStr">
        <x:is>
          <x:t xml:space="preserve">2025-10-15</x:t>
        </x:is>
      </x:c>
      <x:c r="C16" t="inlineStr">
        <x:is>
          <x:t xml:space="preserve">HO01</x:t>
        </x:is>
      </x:c>
      <x:c r="D16" t="n">
        <x:v>5</x:v>
      </x:c>
      <x:c r="E16" t="str">
        <x:f>VLOOKUP(C16,SanPham!$A$2:$C$8,2,FALSE)</x:f>
        <x:v>Hop but da nang</x:v>
      </x:c>
      <x:c r="F16" t="n">
        <x:f>VLOOKUP(C16,SanPham!$A$2:$C$8,3,FALSE)</x:f>
        <x:v>45000</x:v>
      </x:c>
      <x:c r="G16" t="n">
        <x:f>D16*F16</x:f>
        <x:v>225000</x:v>
      </x:c>
    </x:row>
  </x:sheetData>
  <x:autoFilter ref="A1:G16">
    <x:filterColumn colId="6">
      <x:customFilters>
        <x:customFilter operator="greaterThanOrEqual" val="300000"/>
      </x:customFilters>
    </x:filterColumn>
  </x:autoFilter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>
      <x:c r="A1" t="inlineStr">
        <x:is>
          <x:t xml:space="preserve">ma_sp</x:t>
        </x:is>
      </x:c>
      <x:c r="B1" t="inlineStr">
        <x:is>
          <x:t xml:space="preserve">ten_sp</x:t>
        </x:is>
      </x:c>
      <x:c r="C1" t="inlineStr">
        <x:is>
          <x:t xml:space="preserve">gia_ban</x:t>
        </x:is>
      </x:c>
    </x:row>
    <x:row r="2">
      <x:c r="A2" t="inlineStr">
        <x:is>
          <x:t xml:space="preserve">BB01</x:t>
        </x:is>
      </x:c>
      <x:c r="B2" t="inlineStr">
        <x:is>
          <x:t xml:space="preserve">Bo but bi 10 chiec</x:t>
        </x:is>
      </x:c>
      <x:c r="C2" t="n">
        <x:v>35000</x:v>
      </x:c>
    </x:row>
    <x:row r="3">
      <x:c r="A3" t="inlineStr">
        <x:is>
          <x:t xml:space="preserve">VO01</x:t>
        </x:is>
      </x:c>
      <x:c r="B3" t="inlineStr">
        <x:is>
          <x:t xml:space="preserve">Loc vo 5 quyen</x:t>
        </x:is>
      </x:c>
      <x:c r="C3" t="n">
        <x:v>60000</x:v>
      </x:c>
    </x:row>
    <x:row r="4">
      <x:c r="A4" t="inlineStr">
        <x:is>
          <x:t xml:space="preserve">GI01</x:t>
        </x:is>
      </x:c>
      <x:c r="B4" t="inlineStr">
        <x:is>
          <x:t xml:space="preserve">Giay A4 500 to</x:t>
        </x:is>
      </x:c>
      <x:c r="C4" t="n">
        <x:v>75000</x:v>
      </x:c>
    </x:row>
    <x:row r="5">
      <x:c r="A5" t="inlineStr">
        <x:is>
          <x:t xml:space="preserve">BA01</x:t>
        </x:is>
      </x:c>
      <x:c r="B5" t="inlineStr">
        <x:is>
          <x:t xml:space="preserve">Balo hoc sinh</x:t>
        </x:is>
      </x:c>
      <x:c r="C5" t="n">
        <x:v>250000</x:v>
      </x:c>
    </x:row>
    <x:row r="6">
      <x:c r="A6" t="inlineStr">
        <x:is>
          <x:t xml:space="preserve">MT01</x:t>
        </x:is>
      </x:c>
      <x:c r="B6" t="inlineStr">
        <x:is>
          <x:t xml:space="preserve">May tinh bo tui</x:t>
        </x:is>
      </x:c>
      <x:c r="C6" t="n">
        <x:v>150000</x:v>
      </x:c>
    </x:row>
    <x:row r="7">
      <x:c r="A7" t="inlineStr">
        <x:is>
          <x:t xml:space="preserve">KE01</x:t>
        </x:is>
      </x:c>
      <x:c r="B7" t="inlineStr">
        <x:is>
          <x:t xml:space="preserve">Ke sach mini</x:t>
        </x:is>
      </x:c>
      <x:c r="C7" t="n">
        <x:v>100000</x:v>
      </x:c>
    </x:row>
    <x:row r="8">
      <x:c r="A8" t="inlineStr">
        <x:is>
          <x:t xml:space="preserve">HO01</x:t>
        </x:is>
      </x:c>
      <x:c r="B8" t="inlineStr">
        <x:is>
          <x:t xml:space="preserve">Hop but da nang</x:t>
        </x:is>
      </x:c>
      <x:c r="C8" t="n">
        <x:v>45000</x:v>
      </x:c>
    </x:row>
  </x:sheetData>
  <x:pageMargins left="0.7" right="0.7" top="0.75" bottom="0.75" header="0.3" footer="0.3"/>
</x:worksheet>
</file>